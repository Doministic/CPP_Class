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lagle\Desktop\CPP_Class\0. Tools\"/>
    </mc:Choice>
  </mc:AlternateContent>
  <xr:revisionPtr revIDLastSave="0" documentId="13_ncr:1_{6CF5736C-CF77-408E-87FC-DDEEE49DFEF2}" xr6:coauthVersionLast="47" xr6:coauthVersionMax="47" xr10:uidLastSave="{00000000-0000-0000-0000-000000000000}"/>
  <bookViews>
    <workbookView xWindow="-120" yWindow="-120" windowWidth="51840" windowHeight="21120" xr2:uid="{7240CAB0-DE38-402B-A68B-92C0C6B57463}"/>
  </bookViews>
  <sheets>
    <sheet name="Binary_Decimal_Hex_Conversion" sheetId="1" r:id="rId1"/>
    <sheet name="DONOTDELETE" sheetId="2" r:id="rId2"/>
  </sheets>
  <definedNames>
    <definedName name="_xlnm._FilterDatabase" localSheetId="0" hidden="1">Binary_Decimal_Hex_Conversion!#REF!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1" l="1"/>
  <c r="F24" i="1"/>
  <c r="G24" i="1"/>
  <c r="H24" i="1"/>
  <c r="I24" i="1"/>
  <c r="J24" i="1"/>
  <c r="K24" i="1"/>
  <c r="D24" i="1"/>
  <c r="D30" i="1" a="1"/>
  <c r="D30" i="1" s="1"/>
  <c r="E21" i="1"/>
  <c r="F21" i="1"/>
  <c r="G21" i="1"/>
  <c r="H21" i="1"/>
  <c r="I21" i="1"/>
  <c r="J21" i="1"/>
  <c r="K21" i="1"/>
  <c r="D21" i="1"/>
  <c r="E18" i="1"/>
  <c r="F18" i="1"/>
  <c r="G18" i="1"/>
  <c r="H18" i="1"/>
  <c r="I18" i="1"/>
  <c r="J18" i="1"/>
  <c r="K18" i="1"/>
  <c r="D18" i="1"/>
  <c r="E15" i="1"/>
  <c r="F15" i="1"/>
  <c r="H15" i="1"/>
  <c r="I15" i="1"/>
  <c r="J15" i="1"/>
  <c r="K15" i="1"/>
  <c r="D27" i="1" a="1"/>
  <c r="D27" i="1" s="1"/>
  <c r="K8" i="1"/>
  <c r="J8" i="1"/>
  <c r="J25" i="1" s="1"/>
  <c r="I8" i="1"/>
  <c r="H8" i="1"/>
  <c r="G8" i="1"/>
  <c r="G10" i="1" s="1"/>
  <c r="F8" i="1"/>
  <c r="F10" i="1" s="1"/>
  <c r="E8" i="1"/>
  <c r="E22" i="1" s="1"/>
  <c r="D8" i="1"/>
  <c r="D10" i="1" s="1"/>
  <c r="L7" i="1"/>
  <c r="N7" i="1"/>
  <c r="D7" i="1"/>
  <c r="I25" i="1" l="1"/>
  <c r="K31" i="1"/>
  <c r="G6" i="2" a="1"/>
  <c r="G6" i="2" s="1"/>
  <c r="J16" i="1"/>
  <c r="I31" i="1"/>
  <c r="D19" i="1"/>
  <c r="I16" i="1"/>
  <c r="D31" i="1"/>
  <c r="D16" i="1"/>
  <c r="K25" i="1"/>
  <c r="K16" i="1"/>
  <c r="G22" i="1"/>
  <c r="H22" i="1"/>
  <c r="K13" i="1"/>
  <c r="I22" i="1"/>
  <c r="D22" i="1"/>
  <c r="F13" i="1"/>
  <c r="K22" i="1"/>
  <c r="E31" i="1"/>
  <c r="D13" i="1"/>
  <c r="E25" i="1"/>
  <c r="F31" i="1"/>
  <c r="K19" i="1"/>
  <c r="F25" i="1"/>
  <c r="G31" i="1"/>
  <c r="J13" i="1"/>
  <c r="J22" i="1"/>
  <c r="E16" i="1"/>
  <c r="G25" i="1"/>
  <c r="H31" i="1"/>
  <c r="F16" i="1"/>
  <c r="H25" i="1"/>
  <c r="G16" i="1"/>
  <c r="J31" i="1"/>
  <c r="H16" i="1"/>
  <c r="D25" i="1"/>
  <c r="F22" i="1"/>
  <c r="E13" i="1"/>
  <c r="G19" i="1"/>
  <c r="H19" i="1"/>
  <c r="E19" i="1"/>
  <c r="F19" i="1"/>
  <c r="I19" i="1"/>
  <c r="J19" i="1"/>
  <c r="I13" i="1"/>
  <c r="H13" i="1"/>
  <c r="G13" i="1"/>
  <c r="H10" i="1"/>
  <c r="E10" i="1"/>
  <c r="K10" i="1"/>
  <c r="J10" i="1"/>
  <c r="I10" i="1"/>
  <c r="L31" i="1" l="1"/>
  <c r="O31" i="1" s="1"/>
  <c r="N31" i="1" s="1"/>
  <c r="L16" i="1"/>
  <c r="O16" i="1" s="1"/>
  <c r="N16" i="1" s="1"/>
  <c r="L25" i="1"/>
  <c r="O25" i="1" s="1"/>
  <c r="N25" i="1" s="1"/>
  <c r="L19" i="1"/>
  <c r="O19" i="1" s="1"/>
  <c r="N19" i="1" s="1"/>
  <c r="L22" i="1"/>
  <c r="O22" i="1" s="1"/>
  <c r="N22" i="1" s="1"/>
  <c r="L10" i="1"/>
  <c r="O10" i="1" s="1"/>
  <c r="N10" i="1" s="1"/>
  <c r="L13" i="1"/>
  <c r="O13" i="1" s="1"/>
  <c r="N13" i="1" s="1"/>
  <c r="D28" i="1" l="1"/>
  <c r="J28" i="1"/>
  <c r="I28" i="1"/>
  <c r="G28" i="1"/>
  <c r="H28" i="1"/>
  <c r="F28" i="1"/>
  <c r="K28" i="1"/>
  <c r="E28" i="1"/>
  <c r="L28" i="1" l="1"/>
  <c r="O28" i="1" s="1"/>
  <c r="N28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<sst xmlns="http://schemas.openxmlformats.org/spreadsheetml/2006/main" count="37" uniqueCount="21">
  <si>
    <t>Hex</t>
  </si>
  <si>
    <t xml:space="preserve">Decimal </t>
  </si>
  <si>
    <t>Base</t>
  </si>
  <si>
    <t>Binary</t>
  </si>
  <si>
    <t>Binary Conversion of an 8 bit from Binary to Decimal and Hex</t>
  </si>
  <si>
    <t>Conversion</t>
  </si>
  <si>
    <t>Total</t>
  </si>
  <si>
    <t>&amp;</t>
  </si>
  <si>
    <t>|</t>
  </si>
  <si>
    <t>^</t>
  </si>
  <si>
    <t>~</t>
  </si>
  <si>
    <t>&gt;&gt;</t>
  </si>
  <si>
    <t>&lt;&lt;</t>
  </si>
  <si>
    <t>Flag</t>
  </si>
  <si>
    <t>Mask</t>
  </si>
  <si>
    <t>&amp; (AND)</t>
  </si>
  <si>
    <t>| (OR)</t>
  </si>
  <si>
    <t>&gt;&gt; (BITSHIFT RIGHT)</t>
  </si>
  <si>
    <t>&lt;&lt; (BITSHIFT LEFT)</t>
  </si>
  <si>
    <t>^ (XOR / Exclusive OR)</t>
  </si>
  <si>
    <t>~ (NOT)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</si>
</sst>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color theme="0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3" fillId="0" borderId="0" xfId="0" applyFont="1"/>
    <xf numFmtId="0" fontId="4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5" borderId="24" xfId="0" applyFont="1" applyFill="1" applyBorder="1" applyAlignment="1">
      <alignment horizontal="center" vertical="center"/>
    </xf>
    <xf numFmtId="0" fontId="4" fillId="5" borderId="25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2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6" borderId="3" xfId="0" applyFont="1" applyFill="1" applyBorder="1"/>
    <xf numFmtId="0" fontId="3" fillId="6" borderId="1" xfId="0" applyFont="1" applyFill="1" applyBorder="1"/>
    <xf numFmtId="0" fontId="3" fillId="6" borderId="2" xfId="0" applyFont="1" applyFill="1" applyBorder="1"/>
    <xf numFmtId="0" fontId="3" fillId="6" borderId="29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" fillId="6" borderId="15" xfId="0" applyFont="1" applyFill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6" borderId="21" xfId="0" applyFont="1" applyFill="1" applyBorder="1" applyAlignment="1">
      <alignment vertical="center"/>
    </xf>
    <xf numFmtId="0" fontId="3" fillId="6" borderId="22" xfId="0" applyFont="1" applyFill="1" applyBorder="1" applyAlignment="1">
      <alignment vertical="center"/>
    </xf>
    <xf numFmtId="0" fontId="3" fillId="6" borderId="19" xfId="0" applyFont="1" applyFill="1" applyBorder="1"/>
    <xf numFmtId="0" fontId="3" fillId="6" borderId="17" xfId="0" applyFont="1" applyFill="1" applyBorder="1"/>
    <xf numFmtId="0" fontId="3" fillId="6" borderId="18" xfId="0" applyFont="1" applyFill="1" applyBorder="1"/>
    <xf numFmtId="0" fontId="3" fillId="6" borderId="30" xfId="0" applyFont="1" applyFill="1" applyBorder="1" applyAlignment="1">
      <alignment horizontal="center" vertical="center"/>
    </xf>
    <xf numFmtId="0" fontId="3" fillId="6" borderId="19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vertical="center"/>
    </xf>
    <xf numFmtId="0" fontId="3" fillId="6" borderId="20" xfId="0" applyFont="1" applyFill="1" applyBorder="1" applyAlignment="1">
      <alignment vertical="center"/>
    </xf>
    <xf numFmtId="0" fontId="6" fillId="6" borderId="31" xfId="0" applyFont="1" applyFill="1" applyBorder="1" applyAlignment="1">
      <alignment horizontal="center"/>
    </xf>
    <xf numFmtId="0" fontId="6" fillId="6" borderId="14" xfId="0" applyFont="1" applyFill="1" applyBorder="1" applyAlignment="1">
      <alignment horizontal="center"/>
    </xf>
    <xf numFmtId="0" fontId="2" fillId="6" borderId="8" xfId="0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/>
    </xf>
    <xf numFmtId="0" fontId="2" fillId="6" borderId="13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/>
    </xf>
    <xf numFmtId="0" fontId="3" fillId="5" borderId="2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81EA7-154C-46E8-890D-524FFA640F41}">
  <dimension ref="A4:O32"/>
  <sheetViews>
    <sheetView tabSelected="1" workbookViewId="0">
      <selection activeCell="G41" sqref="G41"/>
    </sheetView>
  </sheetViews>
  <sheetFormatPr defaultRowHeight="15" x14ac:dyDescent="0.25"/>
  <cols>
    <col min="3" max="3" width="23.28515625" bestFit="1" customWidth="1"/>
    <col min="4" max="4" width="9.42578125" bestFit="1" customWidth="1"/>
  </cols>
  <sheetData>
    <row r="4" spans="1:15" x14ac:dyDescent="0.25">
      <c r="C4" s="8"/>
      <c r="D4" s="9" t="s">
        <v>4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ht="15.75" thickBot="1" x14ac:dyDescent="0.3">
      <c r="A5" s="2"/>
      <c r="B5" s="2"/>
      <c r="C5" s="10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</row>
    <row r="6" spans="1:15" ht="18.75" thickBot="1" x14ac:dyDescent="0.3">
      <c r="A6" s="2"/>
      <c r="B6" s="2"/>
      <c r="C6" s="10"/>
      <c r="D6" s="3" t="s">
        <v>3</v>
      </c>
      <c r="E6" s="4"/>
      <c r="F6" s="4"/>
      <c r="G6" s="4"/>
      <c r="H6" s="4"/>
      <c r="I6" s="4"/>
      <c r="J6" s="4"/>
      <c r="K6" s="4"/>
      <c r="L6" s="5" t="s">
        <v>1</v>
      </c>
      <c r="M6" s="5"/>
      <c r="N6" s="6" t="s">
        <v>0</v>
      </c>
      <c r="O6" s="7"/>
    </row>
    <row r="7" spans="1:15" ht="15.75" x14ac:dyDescent="0.25">
      <c r="A7" s="2"/>
      <c r="B7" s="55" t="s">
        <v>2</v>
      </c>
      <c r="C7" s="56"/>
      <c r="D7" s="12">
        <f>IF($D6="Binary",POWER(2,1),IF($D6="Decimal",POWER(10,1),POWER(16,1)))</f>
        <v>2</v>
      </c>
      <c r="E7" s="12"/>
      <c r="F7" s="12"/>
      <c r="G7" s="12"/>
      <c r="H7" s="12"/>
      <c r="I7" s="12"/>
      <c r="J7" s="12"/>
      <c r="K7" s="13"/>
      <c r="L7" s="14">
        <f>IF($L6="Binary",POWER(2,1),IF($L6="Decimal ",POWER(10,1),POWER(16,1)))</f>
        <v>10</v>
      </c>
      <c r="M7" s="15"/>
      <c r="N7" s="16">
        <f>IF($L6="Binary",POWER(2,1),IF($L6="Decimal",POWER(10,1),POWER(16,1)))</f>
        <v>16</v>
      </c>
      <c r="O7" s="17"/>
    </row>
    <row r="8" spans="1:15" x14ac:dyDescent="0.25">
      <c r="A8" s="2"/>
      <c r="B8" s="57"/>
      <c r="C8" s="58"/>
      <c r="D8" s="18">
        <f>POWER(2,DONOTDELETE!$C13)</f>
        <v>128</v>
      </c>
      <c r="E8" s="19">
        <f>POWER(2,DONOTDELETE!$C12)</f>
        <v>64</v>
      </c>
      <c r="F8" s="19">
        <f>POWER(2,DONOTDELETE!$C11)</f>
        <v>32</v>
      </c>
      <c r="G8" s="19">
        <f>POWER(2,DONOTDELETE!$C10)</f>
        <v>16</v>
      </c>
      <c r="H8" s="19">
        <f>POWER(2,DONOTDELETE!$C9)</f>
        <v>8</v>
      </c>
      <c r="I8" s="19">
        <f>POWER(2,DONOTDELETE!$C8)</f>
        <v>4</v>
      </c>
      <c r="J8" s="19">
        <f>POWER(2,DONOTDELETE!$C7)</f>
        <v>2</v>
      </c>
      <c r="K8" s="19">
        <f>POWER(2,DONOTDELETE!$C6)</f>
        <v>1</v>
      </c>
      <c r="L8" s="20" t="s">
        <v>5</v>
      </c>
      <c r="M8" s="21"/>
      <c r="N8" s="20" t="s">
        <v>5</v>
      </c>
      <c r="O8" s="22"/>
    </row>
    <row r="9" spans="1:15" ht="15.75" thickBot="1" x14ac:dyDescent="0.3">
      <c r="A9" s="2"/>
      <c r="B9" s="59" t="s">
        <v>13</v>
      </c>
      <c r="C9" s="60"/>
      <c r="D9" s="18">
        <v>1</v>
      </c>
      <c r="E9" s="19">
        <v>0</v>
      </c>
      <c r="F9" s="19">
        <v>1</v>
      </c>
      <c r="G9" s="19">
        <v>0</v>
      </c>
      <c r="H9" s="19">
        <v>0</v>
      </c>
      <c r="I9" s="19">
        <v>0</v>
      </c>
      <c r="J9" s="19">
        <v>1</v>
      </c>
      <c r="K9" s="19">
        <v>1</v>
      </c>
      <c r="L9" s="23" t="s">
        <v>6</v>
      </c>
      <c r="M9" s="24"/>
      <c r="N9" s="23" t="s">
        <v>6</v>
      </c>
      <c r="O9" s="25"/>
    </row>
    <row r="10" spans="1:15" x14ac:dyDescent="0.25">
      <c r="A10" s="2"/>
      <c r="B10" s="59" t="s">
        <v>5</v>
      </c>
      <c r="C10" s="60"/>
      <c r="D10" s="26">
        <f>D$8*D9</f>
        <v>128</v>
      </c>
      <c r="E10" s="27">
        <f>E$8*E9</f>
        <v>0</v>
      </c>
      <c r="F10" s="27">
        <f t="shared" ref="F10:K10" si="0">F$8*F9</f>
        <v>32</v>
      </c>
      <c r="G10" s="27">
        <f t="shared" si="0"/>
        <v>0</v>
      </c>
      <c r="H10" s="27">
        <f t="shared" si="0"/>
        <v>0</v>
      </c>
      <c r="I10" s="27">
        <f t="shared" si="0"/>
        <v>0</v>
      </c>
      <c r="J10" s="27">
        <f t="shared" si="0"/>
        <v>2</v>
      </c>
      <c r="K10" s="28">
        <f t="shared" si="0"/>
        <v>1</v>
      </c>
      <c r="L10" s="29">
        <f>SUM($D10:$K10)</f>
        <v>163</v>
      </c>
      <c r="M10" s="30"/>
      <c r="N10" s="31" t="str">
        <f>IF($O10&lt;16,"",LEFT(DEC2HEX($L10,2),1))</f>
        <v>A</v>
      </c>
      <c r="O10" s="32" t="str">
        <f>RIGHT(DEC2HEX($L10,2),1)</f>
        <v>3</v>
      </c>
    </row>
    <row r="11" spans="1:15" x14ac:dyDescent="0.25">
      <c r="B11" s="57"/>
      <c r="C11" s="58"/>
      <c r="D11" s="33"/>
      <c r="E11" s="34"/>
      <c r="F11" s="34"/>
      <c r="G11" s="34"/>
      <c r="H11" s="34"/>
      <c r="I11" s="34"/>
      <c r="J11" s="34"/>
      <c r="K11" s="35"/>
      <c r="L11" s="36"/>
      <c r="M11" s="37"/>
      <c r="N11" s="38"/>
      <c r="O11" s="39"/>
    </row>
    <row r="12" spans="1:15" x14ac:dyDescent="0.25">
      <c r="B12" s="59" t="s">
        <v>14</v>
      </c>
      <c r="C12" s="60"/>
      <c r="D12" s="18">
        <v>1</v>
      </c>
      <c r="E12" s="19">
        <v>0</v>
      </c>
      <c r="F12" s="19">
        <v>1</v>
      </c>
      <c r="G12" s="19">
        <v>1</v>
      </c>
      <c r="H12" s="19">
        <v>1</v>
      </c>
      <c r="I12" s="19">
        <v>1</v>
      </c>
      <c r="J12" s="19">
        <v>0</v>
      </c>
      <c r="K12" s="40">
        <v>0</v>
      </c>
      <c r="L12" s="36"/>
      <c r="M12" s="37"/>
      <c r="N12" s="38"/>
      <c r="O12" s="39"/>
    </row>
    <row r="13" spans="1:15" x14ac:dyDescent="0.25">
      <c r="B13" s="59" t="s">
        <v>5</v>
      </c>
      <c r="C13" s="60"/>
      <c r="D13" s="26">
        <f>D$8*D12</f>
        <v>128</v>
      </c>
      <c r="E13" s="27">
        <f>E$8*E12</f>
        <v>0</v>
      </c>
      <c r="F13" s="27">
        <f t="shared" ref="F13" si="1">F$8*F12</f>
        <v>32</v>
      </c>
      <c r="G13" s="27">
        <f t="shared" ref="G13" si="2">G$8*G12</f>
        <v>16</v>
      </c>
      <c r="H13" s="27">
        <f t="shared" ref="H13" si="3">H$8*H12</f>
        <v>8</v>
      </c>
      <c r="I13" s="27">
        <f t="shared" ref="I13" si="4">I$8*I12</f>
        <v>4</v>
      </c>
      <c r="J13" s="27">
        <f t="shared" ref="J13" si="5">J$8*J12</f>
        <v>0</v>
      </c>
      <c r="K13" s="28">
        <f t="shared" ref="K13" si="6">K$8*K12</f>
        <v>0</v>
      </c>
      <c r="L13" s="41">
        <f>SUM($D13:$K13)</f>
        <v>188</v>
      </c>
      <c r="M13" s="42"/>
      <c r="N13" s="19" t="str">
        <f>IF($O13&lt;16,"",LEFT(DEC2HEX($L13,2),1))</f>
        <v>B</v>
      </c>
      <c r="O13" s="43" t="str">
        <f>RIGHT(DEC2HEX($L13,2),1)</f>
        <v>C</v>
      </c>
    </row>
    <row r="14" spans="1:15" ht="15.75" x14ac:dyDescent="0.25">
      <c r="B14" s="57"/>
      <c r="C14" s="58"/>
      <c r="D14" s="53" t="s">
        <v>15</v>
      </c>
      <c r="E14" s="53"/>
      <c r="F14" s="53"/>
      <c r="G14" s="53"/>
      <c r="H14" s="53"/>
      <c r="I14" s="53"/>
      <c r="J14" s="53"/>
      <c r="K14" s="54"/>
      <c r="L14" s="36"/>
      <c r="M14" s="37"/>
      <c r="N14" s="38"/>
      <c r="O14" s="39"/>
    </row>
    <row r="15" spans="1:15" x14ac:dyDescent="0.25">
      <c r="B15" s="59" t="s">
        <v>7</v>
      </c>
      <c r="C15" s="60"/>
      <c r="D15" s="18">
        <v>0</v>
      </c>
      <c r="E15" s="18">
        <f t="shared" ref="E15:K15" si="7">_xlfn.BITAND(E$9,E$12)</f>
        <v>0</v>
      </c>
      <c r="F15" s="18">
        <f t="shared" si="7"/>
        <v>1</v>
      </c>
      <c r="G15" s="18">
        <v>0</v>
      </c>
      <c r="H15" s="18">
        <f t="shared" si="7"/>
        <v>0</v>
      </c>
      <c r="I15" s="18">
        <f t="shared" si="7"/>
        <v>0</v>
      </c>
      <c r="J15" s="18">
        <f t="shared" si="7"/>
        <v>0</v>
      </c>
      <c r="K15" s="18">
        <f t="shared" si="7"/>
        <v>0</v>
      </c>
      <c r="L15" s="36"/>
      <c r="M15" s="37"/>
      <c r="N15" s="38"/>
      <c r="O15" s="39"/>
    </row>
    <row r="16" spans="1:15" x14ac:dyDescent="0.25">
      <c r="B16" s="59" t="s">
        <v>5</v>
      </c>
      <c r="C16" s="60"/>
      <c r="D16" s="26">
        <f>D$8*D15</f>
        <v>0</v>
      </c>
      <c r="E16" s="27">
        <f>E$8*E15</f>
        <v>0</v>
      </c>
      <c r="F16" s="27">
        <f t="shared" ref="F16:K16" si="8">F$8*F15</f>
        <v>32</v>
      </c>
      <c r="G16" s="27">
        <f t="shared" si="8"/>
        <v>0</v>
      </c>
      <c r="H16" s="27">
        <f t="shared" si="8"/>
        <v>0</v>
      </c>
      <c r="I16" s="27">
        <f t="shared" si="8"/>
        <v>0</v>
      </c>
      <c r="J16" s="27">
        <f t="shared" si="8"/>
        <v>0</v>
      </c>
      <c r="K16" s="28">
        <f t="shared" si="8"/>
        <v>0</v>
      </c>
      <c r="L16" s="41">
        <f>SUM($D16:$K16)</f>
        <v>32</v>
      </c>
      <c r="M16" s="42"/>
      <c r="N16" s="19" t="str">
        <f>IF($O16&lt;16,"",LEFT(DEC2HEX($L16,2),1))</f>
        <v>2</v>
      </c>
      <c r="O16" s="43" t="str">
        <f>RIGHT(DEC2HEX($L16,2),1)</f>
        <v>0</v>
      </c>
    </row>
    <row r="17" spans="2:15" ht="15.75" x14ac:dyDescent="0.25">
      <c r="B17" s="57"/>
      <c r="C17" s="58"/>
      <c r="D17" s="53" t="s">
        <v>16</v>
      </c>
      <c r="E17" s="53"/>
      <c r="F17" s="53"/>
      <c r="G17" s="53"/>
      <c r="H17" s="53"/>
      <c r="I17" s="53"/>
      <c r="J17" s="53"/>
      <c r="K17" s="54"/>
      <c r="L17" s="36"/>
      <c r="M17" s="37"/>
      <c r="N17" s="38"/>
      <c r="O17" s="39"/>
    </row>
    <row r="18" spans="2:15" x14ac:dyDescent="0.25">
      <c r="B18" s="59" t="s">
        <v>8</v>
      </c>
      <c r="C18" s="60"/>
      <c r="D18" s="18">
        <f>_xlfn.BITOR(D$9,D$12)</f>
        <v>1</v>
      </c>
      <c r="E18" s="18">
        <f t="shared" ref="E18:K18" si="9">_xlfn.BITOR(E$9,E$12)</f>
        <v>0</v>
      </c>
      <c r="F18" s="18">
        <f t="shared" si="9"/>
        <v>1</v>
      </c>
      <c r="G18" s="18">
        <f t="shared" si="9"/>
        <v>1</v>
      </c>
      <c r="H18" s="18">
        <f t="shared" si="9"/>
        <v>1</v>
      </c>
      <c r="I18" s="18">
        <f t="shared" si="9"/>
        <v>1</v>
      </c>
      <c r="J18" s="18">
        <f t="shared" si="9"/>
        <v>1</v>
      </c>
      <c r="K18" s="18">
        <f t="shared" si="9"/>
        <v>1</v>
      </c>
      <c r="L18" s="36"/>
      <c r="M18" s="37"/>
      <c r="N18" s="38"/>
      <c r="O18" s="39"/>
    </row>
    <row r="19" spans="2:15" x14ac:dyDescent="0.25">
      <c r="B19" s="59" t="s">
        <v>5</v>
      </c>
      <c r="C19" s="60"/>
      <c r="D19" s="26">
        <f>D$8*D18</f>
        <v>128</v>
      </c>
      <c r="E19" s="27">
        <f>E$8*E18</f>
        <v>0</v>
      </c>
      <c r="F19" s="27">
        <f t="shared" ref="F19:K19" si="10">F$8*F18</f>
        <v>32</v>
      </c>
      <c r="G19" s="27">
        <f t="shared" si="10"/>
        <v>16</v>
      </c>
      <c r="H19" s="27">
        <f t="shared" si="10"/>
        <v>8</v>
      </c>
      <c r="I19" s="27">
        <f t="shared" si="10"/>
        <v>4</v>
      </c>
      <c r="J19" s="27">
        <f t="shared" si="10"/>
        <v>2</v>
      </c>
      <c r="K19" s="28">
        <f t="shared" si="10"/>
        <v>1</v>
      </c>
      <c r="L19" s="41">
        <f>SUM($D19:$K19)</f>
        <v>191</v>
      </c>
      <c r="M19" s="42"/>
      <c r="N19" s="19" t="str">
        <f>IF($O19&lt;16,"",LEFT(DEC2HEX($L19,2),1))</f>
        <v>B</v>
      </c>
      <c r="O19" s="43" t="str">
        <f>RIGHT(DEC2HEX($L19,2),1)</f>
        <v>F</v>
      </c>
    </row>
    <row r="20" spans="2:15" ht="15.75" x14ac:dyDescent="0.25">
      <c r="B20" s="57"/>
      <c r="C20" s="58"/>
      <c r="D20" s="53" t="s">
        <v>19</v>
      </c>
      <c r="E20" s="53"/>
      <c r="F20" s="53"/>
      <c r="G20" s="53"/>
      <c r="H20" s="53"/>
      <c r="I20" s="53"/>
      <c r="J20" s="53"/>
      <c r="K20" s="54"/>
      <c r="L20" s="36"/>
      <c r="M20" s="37"/>
      <c r="N20" s="38"/>
      <c r="O20" s="39"/>
    </row>
    <row r="21" spans="2:15" x14ac:dyDescent="0.25">
      <c r="B21" s="59" t="s">
        <v>9</v>
      </c>
      <c r="C21" s="60"/>
      <c r="D21" s="18">
        <f>_xlfn.BITXOR(D$9,D$12)</f>
        <v>0</v>
      </c>
      <c r="E21" s="18">
        <f t="shared" ref="E21:K21" si="11">_xlfn.BITXOR(E$9,E$12)</f>
        <v>0</v>
      </c>
      <c r="F21" s="18">
        <f t="shared" si="11"/>
        <v>0</v>
      </c>
      <c r="G21" s="18">
        <f t="shared" si="11"/>
        <v>1</v>
      </c>
      <c r="H21" s="18">
        <f t="shared" si="11"/>
        <v>1</v>
      </c>
      <c r="I21" s="18">
        <f t="shared" si="11"/>
        <v>1</v>
      </c>
      <c r="J21" s="18">
        <f t="shared" si="11"/>
        <v>1</v>
      </c>
      <c r="K21" s="18">
        <f t="shared" si="11"/>
        <v>1</v>
      </c>
      <c r="L21" s="36"/>
      <c r="M21" s="37"/>
      <c r="N21" s="38"/>
      <c r="O21" s="39"/>
    </row>
    <row r="22" spans="2:15" x14ac:dyDescent="0.25">
      <c r="B22" s="59" t="s">
        <v>5</v>
      </c>
      <c r="C22" s="60"/>
      <c r="D22" s="26">
        <f>D$8*D21</f>
        <v>0</v>
      </c>
      <c r="E22" s="27">
        <f>E$8*E21</f>
        <v>0</v>
      </c>
      <c r="F22" s="27">
        <f t="shared" ref="F22:K22" si="12">F$8*F21</f>
        <v>0</v>
      </c>
      <c r="G22" s="27">
        <f t="shared" si="12"/>
        <v>16</v>
      </c>
      <c r="H22" s="27">
        <f t="shared" si="12"/>
        <v>8</v>
      </c>
      <c r="I22" s="27">
        <f t="shared" si="12"/>
        <v>4</v>
      </c>
      <c r="J22" s="27">
        <f t="shared" si="12"/>
        <v>2</v>
      </c>
      <c r="K22" s="28">
        <f t="shared" si="12"/>
        <v>1</v>
      </c>
      <c r="L22" s="41">
        <f>SUM($D22:$K22)</f>
        <v>31</v>
      </c>
      <c r="M22" s="42"/>
      <c r="N22" s="19" t="str">
        <f>IF($O22&lt;16,"",LEFT(DEC2HEX($L22,2),1))</f>
        <v>1</v>
      </c>
      <c r="O22" s="43" t="str">
        <f>RIGHT(DEC2HEX($L22,2),1)</f>
        <v>F</v>
      </c>
    </row>
    <row r="23" spans="2:15" ht="15.75" x14ac:dyDescent="0.25">
      <c r="B23" s="57"/>
      <c r="C23" s="58"/>
      <c r="D23" s="53" t="s">
        <v>20</v>
      </c>
      <c r="E23" s="53"/>
      <c r="F23" s="53"/>
      <c r="G23" s="53"/>
      <c r="H23" s="53"/>
      <c r="I23" s="53"/>
      <c r="J23" s="53"/>
      <c r="K23" s="54"/>
      <c r="L23" s="36"/>
      <c r="M23" s="37"/>
      <c r="N23" s="38"/>
      <c r="O23" s="39"/>
    </row>
    <row r="24" spans="2:15" x14ac:dyDescent="0.25">
      <c r="B24" s="59" t="s">
        <v>10</v>
      </c>
      <c r="C24" s="60"/>
      <c r="D24" s="18">
        <f>IF(D$9 = 1, 0, 1)</f>
        <v>0</v>
      </c>
      <c r="E24" s="18">
        <f t="shared" ref="E24:K24" si="13">IF(E$9 = 1, 0, 1)</f>
        <v>1</v>
      </c>
      <c r="F24" s="18">
        <f t="shared" si="13"/>
        <v>0</v>
      </c>
      <c r="G24" s="18">
        <f t="shared" si="13"/>
        <v>1</v>
      </c>
      <c r="H24" s="18">
        <f t="shared" si="13"/>
        <v>1</v>
      </c>
      <c r="I24" s="18">
        <f t="shared" si="13"/>
        <v>1</v>
      </c>
      <c r="J24" s="18">
        <f t="shared" si="13"/>
        <v>0</v>
      </c>
      <c r="K24" s="18">
        <f t="shared" si="13"/>
        <v>0</v>
      </c>
      <c r="L24" s="36"/>
      <c r="M24" s="37"/>
      <c r="N24" s="38"/>
      <c r="O24" s="39"/>
    </row>
    <row r="25" spans="2:15" x14ac:dyDescent="0.25">
      <c r="B25" s="59" t="s">
        <v>5</v>
      </c>
      <c r="C25" s="60"/>
      <c r="D25" s="26">
        <f>D$8*D24</f>
        <v>0</v>
      </c>
      <c r="E25" s="27">
        <f>E$8*E24</f>
        <v>64</v>
      </c>
      <c r="F25" s="27">
        <f t="shared" ref="F25:K25" si="14">F$8*F24</f>
        <v>0</v>
      </c>
      <c r="G25" s="27">
        <f t="shared" si="14"/>
        <v>16</v>
      </c>
      <c r="H25" s="27">
        <f t="shared" si="14"/>
        <v>8</v>
      </c>
      <c r="I25" s="27">
        <f t="shared" si="14"/>
        <v>4</v>
      </c>
      <c r="J25" s="27">
        <f t="shared" si="14"/>
        <v>0</v>
      </c>
      <c r="K25" s="28">
        <f t="shared" si="14"/>
        <v>0</v>
      </c>
      <c r="L25" s="41">
        <f>SUM($D25:$K25)</f>
        <v>92</v>
      </c>
      <c r="M25" s="42"/>
      <c r="N25" s="19" t="str">
        <f>IF($O25&lt;16,"",LEFT(DEC2HEX($L25,2),1))</f>
        <v>5</v>
      </c>
      <c r="O25" s="43" t="str">
        <f>RIGHT(DEC2HEX($L25,2),1)</f>
        <v>C</v>
      </c>
    </row>
    <row r="26" spans="2:15" ht="15.75" x14ac:dyDescent="0.25">
      <c r="B26" s="57"/>
      <c r="C26" s="58"/>
      <c r="D26" s="53" t="s">
        <v>18</v>
      </c>
      <c r="E26" s="53"/>
      <c r="F26" s="53"/>
      <c r="G26" s="53"/>
      <c r="H26" s="53"/>
      <c r="I26" s="53"/>
      <c r="J26" s="53"/>
      <c r="K26" s="54"/>
      <c r="L26" s="36"/>
      <c r="M26" s="37"/>
      <c r="N26" s="38"/>
      <c r="O26" s="39"/>
    </row>
    <row r="27" spans="2:15" x14ac:dyDescent="0.25">
      <c r="B27" s="61" t="s">
        <v>12</v>
      </c>
      <c r="C27" s="61">
        <v>2</v>
      </c>
      <c r="D27" s="18" cm="1">
        <f t="array" ref="D27:K27">_xlfn.LET(_xlpm.bits,D9:K9,_xlpm.w,COLUMNS(_xlpm.bits),_xlpm.n,MIN(MAX(C27,0),_xlpm.w),IF(_xlpm.n = 0, _xlpm.bits, _xlfn.HSTACK(_xlfn.DROP(_xlpm.bits,,_xlpm.n),_xlfn.MAKEARRAY(1,_xlpm.n,_xlfn.LAMBDA(_xlpm.r,_xlpm.c,0)))))</f>
        <v>1</v>
      </c>
      <c r="E27" s="19">
        <v>0</v>
      </c>
      <c r="F27" s="19">
        <v>0</v>
      </c>
      <c r="G27" s="19">
        <v>0</v>
      </c>
      <c r="H27" s="19">
        <v>1</v>
      </c>
      <c r="I27" s="19">
        <v>1</v>
      </c>
      <c r="J27" s="19">
        <v>0</v>
      </c>
      <c r="K27" s="40">
        <v>0</v>
      </c>
      <c r="L27" s="36"/>
      <c r="M27" s="37"/>
      <c r="N27" s="38"/>
      <c r="O27" s="39"/>
    </row>
    <row r="28" spans="2:15" x14ac:dyDescent="0.25">
      <c r="B28" s="59" t="s">
        <v>5</v>
      </c>
      <c r="C28" s="60"/>
      <c r="D28" s="26">
        <f>D$8*D27</f>
        <v>128</v>
      </c>
      <c r="E28" s="27">
        <f>E$8*E27</f>
        <v>0</v>
      </c>
      <c r="F28" s="27">
        <f t="shared" ref="F28:K28" si="15">F$8*F27</f>
        <v>0</v>
      </c>
      <c r="G28" s="27">
        <f t="shared" si="15"/>
        <v>0</v>
      </c>
      <c r="H28" s="27">
        <f t="shared" si="15"/>
        <v>8</v>
      </c>
      <c r="I28" s="27">
        <f t="shared" si="15"/>
        <v>4</v>
      </c>
      <c r="J28" s="27">
        <f t="shared" si="15"/>
        <v>0</v>
      </c>
      <c r="K28" s="28">
        <f t="shared" si="15"/>
        <v>0</v>
      </c>
      <c r="L28" s="41">
        <f>SUM($D28:$K28)</f>
        <v>140</v>
      </c>
      <c r="M28" s="42"/>
      <c r="N28" s="19" t="str">
        <f>IF($O28&lt;16,"",LEFT(DEC2HEX($L28,2),1))</f>
        <v>8</v>
      </c>
      <c r="O28" s="43" t="str">
        <f>RIGHT(DEC2HEX($L28,2),1)</f>
        <v>C</v>
      </c>
    </row>
    <row r="29" spans="2:15" ht="15.75" x14ac:dyDescent="0.25">
      <c r="B29" s="57"/>
      <c r="C29" s="58"/>
      <c r="D29" s="53" t="s">
        <v>17</v>
      </c>
      <c r="E29" s="53"/>
      <c r="F29" s="53"/>
      <c r="G29" s="53"/>
      <c r="H29" s="53"/>
      <c r="I29" s="53"/>
      <c r="J29" s="53"/>
      <c r="K29" s="54"/>
      <c r="L29" s="36"/>
      <c r="M29" s="37"/>
      <c r="N29" s="44"/>
      <c r="O29" s="45"/>
    </row>
    <row r="30" spans="2:15" x14ac:dyDescent="0.25">
      <c r="B30" s="61" t="s">
        <v>11</v>
      </c>
      <c r="C30" s="61">
        <v>1</v>
      </c>
      <c r="D30" s="18" cm="1">
        <f t="array" ref="D30:K30">_xlfn.LET(_xlpm.bits,D9:K9,_xlpm.w,COLUMNS(_xlpm.bits),_xlpm.n,MIN(MAX(C30,0),_xlpm.w),IF(_xlpm.n = 0, _xlpm.bits, _xlfn.HSTACK(_xlfn.MAKEARRAY(1,_xlpm.n,_xlfn.LAMBDA(_xlpm.r,_xlpm.c,0)), _xlfn.TAKE(_xlpm.bits,,_xlpm.w-_xlpm.n))))</f>
        <v>0</v>
      </c>
      <c r="E30" s="19">
        <v>1</v>
      </c>
      <c r="F30" s="19">
        <v>0</v>
      </c>
      <c r="G30" s="19">
        <v>1</v>
      </c>
      <c r="H30" s="19">
        <v>0</v>
      </c>
      <c r="I30" s="19">
        <v>0</v>
      </c>
      <c r="J30" s="19">
        <v>0</v>
      </c>
      <c r="K30" s="40">
        <v>1</v>
      </c>
      <c r="L30" s="36"/>
      <c r="M30" s="37"/>
      <c r="N30" s="38"/>
      <c r="O30" s="39"/>
    </row>
    <row r="31" spans="2:15" x14ac:dyDescent="0.25">
      <c r="B31" s="59" t="s">
        <v>5</v>
      </c>
      <c r="C31" s="60"/>
      <c r="D31" s="26">
        <f>D$8*D30</f>
        <v>0</v>
      </c>
      <c r="E31" s="27">
        <f>E$8*E30</f>
        <v>64</v>
      </c>
      <c r="F31" s="27">
        <f t="shared" ref="F31:K31" si="16">F$8*F30</f>
        <v>0</v>
      </c>
      <c r="G31" s="27">
        <f t="shared" si="16"/>
        <v>16</v>
      </c>
      <c r="H31" s="27">
        <f t="shared" si="16"/>
        <v>0</v>
      </c>
      <c r="I31" s="27">
        <f t="shared" si="16"/>
        <v>0</v>
      </c>
      <c r="J31" s="27">
        <f t="shared" si="16"/>
        <v>0</v>
      </c>
      <c r="K31" s="28">
        <f t="shared" si="16"/>
        <v>1</v>
      </c>
      <c r="L31" s="41">
        <f>SUM($D31:$K31)</f>
        <v>81</v>
      </c>
      <c r="M31" s="42"/>
      <c r="N31" s="19" t="str">
        <f>IF($O31&lt;16,"",LEFT(DEC2HEX($L31,2),1))</f>
        <v>5</v>
      </c>
      <c r="O31" s="43" t="str">
        <f>RIGHT(DEC2HEX($L31,2),1)</f>
        <v>1</v>
      </c>
    </row>
    <row r="32" spans="2:15" ht="15.75" thickBot="1" x14ac:dyDescent="0.3">
      <c r="B32" s="62"/>
      <c r="C32" s="63"/>
      <c r="D32" s="46"/>
      <c r="E32" s="47"/>
      <c r="F32" s="47"/>
      <c r="G32" s="47"/>
      <c r="H32" s="47"/>
      <c r="I32" s="47"/>
      <c r="J32" s="47"/>
      <c r="K32" s="48"/>
      <c r="L32" s="49"/>
      <c r="M32" s="50"/>
      <c r="N32" s="51"/>
      <c r="O32" s="52"/>
    </row>
  </sheetData>
  <mergeCells count="64">
    <mergeCell ref="B24:C24"/>
    <mergeCell ref="B23:C23"/>
    <mergeCell ref="B20:C20"/>
    <mergeCell ref="B17:C17"/>
    <mergeCell ref="B14:C14"/>
    <mergeCell ref="B15:C15"/>
    <mergeCell ref="B18:C18"/>
    <mergeCell ref="B21:C21"/>
    <mergeCell ref="B25:C25"/>
    <mergeCell ref="B28:C28"/>
    <mergeCell ref="B31:C31"/>
    <mergeCell ref="B32:C32"/>
    <mergeCell ref="B29:C29"/>
    <mergeCell ref="B26:C26"/>
    <mergeCell ref="B12:C12"/>
    <mergeCell ref="B13:C13"/>
    <mergeCell ref="B16:C16"/>
    <mergeCell ref="B19:C19"/>
    <mergeCell ref="B22:C22"/>
    <mergeCell ref="B7:C7"/>
    <mergeCell ref="B8:C8"/>
    <mergeCell ref="B9:C9"/>
    <mergeCell ref="B10:C10"/>
    <mergeCell ref="B11:C11"/>
    <mergeCell ref="L29:M29"/>
    <mergeCell ref="L30:M30"/>
    <mergeCell ref="L31:M31"/>
    <mergeCell ref="L32:M32"/>
    <mergeCell ref="D14:K14"/>
    <mergeCell ref="D17:K17"/>
    <mergeCell ref="D20:K20"/>
    <mergeCell ref="D23:K23"/>
    <mergeCell ref="D26:K26"/>
    <mergeCell ref="D29:K29"/>
    <mergeCell ref="D4:O5"/>
    <mergeCell ref="L26:M26"/>
    <mergeCell ref="L27:M27"/>
    <mergeCell ref="L28:M28"/>
    <mergeCell ref="N8:O8"/>
    <mergeCell ref="N9:O9"/>
    <mergeCell ref="L20:M20"/>
    <mergeCell ref="L21:M21"/>
    <mergeCell ref="L22:M22"/>
    <mergeCell ref="L23:M23"/>
    <mergeCell ref="L24:M24"/>
    <mergeCell ref="L25:M25"/>
    <mergeCell ref="L14:M14"/>
    <mergeCell ref="L15:M15"/>
    <mergeCell ref="L16:M16"/>
    <mergeCell ref="L17:M17"/>
    <mergeCell ref="L18:M18"/>
    <mergeCell ref="L19:M19"/>
    <mergeCell ref="L8:M8"/>
    <mergeCell ref="L9:M9"/>
    <mergeCell ref="L10:M10"/>
    <mergeCell ref="L11:M11"/>
    <mergeCell ref="L12:M12"/>
    <mergeCell ref="L13:M13"/>
    <mergeCell ref="D7:K7"/>
    <mergeCell ref="L7:M7"/>
    <mergeCell ref="N7:O7"/>
    <mergeCell ref="D6:K6"/>
    <mergeCell ref="L6:M6"/>
    <mergeCell ref="N6:O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1E9E542-EF5F-46B4-8674-ECCEC7169BF4}">
          <x14:formula1>
            <xm:f>DONOTDELETE!$E$6:$E$11</xm:f>
          </x14:formula1>
          <xm:sqref>B15 B27 B30 B24 B21 B18</xm:sqref>
        </x14:dataValidation>
        <x14:dataValidation type="list" allowBlank="1" showInputMessage="1" showErrorMessage="1" xr:uid="{E2FBBCBD-39DA-4805-A1FA-25D85E45B71F}">
          <x14:formula1>
            <xm:f>DONOTDELETE!$C$6:$C$13</xm:f>
          </x14:formula1>
          <xm:sqref>C27 C30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91A7E-9BB8-4D48-AB1F-A5821699685D}">
  <dimension ref="B6:N13"/>
  <sheetViews>
    <sheetView workbookViewId="0">
      <selection activeCell="G6" sqref="G6"/>
    </sheetView>
  </sheetViews>
  <sheetFormatPr defaultRowHeight="15" x14ac:dyDescent="0.25"/>
  <sheetData>
    <row r="6" spans="2:14" x14ac:dyDescent="0.25">
      <c r="C6">
        <v>0</v>
      </c>
      <c r="E6" t="s">
        <v>7</v>
      </c>
      <c r="G6" cm="1">
        <f t="array" ref="G6:N6">_xlfn.LET(_xlpm.bits,Binary_Decimal_Hex_Conversion!D27:K27, _xlpm.w,COLUMNS(_xlpm.bits), _xlpm.n,MIN(MAX(Binary_Decimal_Hex_Conversion!C27,0),_xlpm.w),_xlfn.HSTACK( _xlfn.DROP(_xlpm.bits,,_xlpm.n), _xlfn.MAKEARRAY(1,_xlpm.n,_xlfn.LAMBDA(_xlpm.r,_xlpm.c,0)) ))</f>
        <v>0</v>
      </c>
      <c r="H6">
        <v>0</v>
      </c>
      <c r="I6">
        <v>1</v>
      </c>
      <c r="J6">
        <v>1</v>
      </c>
      <c r="K6">
        <v>0</v>
      </c>
      <c r="L6">
        <v>0</v>
      </c>
      <c r="M6">
        <v>0</v>
      </c>
      <c r="N6">
        <v>0</v>
      </c>
    </row>
    <row r="7" spans="2:14" x14ac:dyDescent="0.25">
      <c r="B7" s="2"/>
      <c r="C7">
        <v>1</v>
      </c>
      <c r="E7" t="s">
        <v>8</v>
      </c>
    </row>
    <row r="8" spans="2:14" x14ac:dyDescent="0.25">
      <c r="B8" s="1"/>
      <c r="C8">
        <v>2</v>
      </c>
      <c r="E8" t="s">
        <v>9</v>
      </c>
    </row>
    <row r="9" spans="2:14" x14ac:dyDescent="0.25">
      <c r="B9" s="2"/>
      <c r="C9">
        <v>3</v>
      </c>
      <c r="E9" t="s">
        <v>10</v>
      </c>
    </row>
    <row r="10" spans="2:14" x14ac:dyDescent="0.25">
      <c r="B10" s="2"/>
      <c r="C10">
        <v>4</v>
      </c>
      <c r="E10" t="s">
        <v>12</v>
      </c>
    </row>
    <row r="11" spans="2:14" x14ac:dyDescent="0.25">
      <c r="C11">
        <v>5</v>
      </c>
      <c r="E11" t="s">
        <v>11</v>
      </c>
    </row>
    <row r="12" spans="2:14" x14ac:dyDescent="0.25">
      <c r="C12">
        <v>6</v>
      </c>
    </row>
    <row r="13" spans="2:14" x14ac:dyDescent="0.25">
      <c r="C13">
        <v>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Binary_Decimal_Hex_Conversion</vt:lpstr>
      <vt:lpstr>DONOTDELETE</vt:lpstr>
    </vt:vector>
  </TitlesOfParts>
  <Company>Activision Blizzard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Lagle, Dominic</dc:creator>
  <cp:lastModifiedBy>Lagle, Dominic</cp:lastModifiedBy>
  <dcterms:created xsi:type="dcterms:W3CDTF">2025-08-25T19:47:11Z</dcterms:created>
  <dcterms:modified xsi:type="dcterms:W3CDTF">2025-09-25T03:20:06Z</dcterms:modified>
</cp:coreProperties>
</file>